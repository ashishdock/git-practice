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026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\Dropbox\git-practice\Excel\"/>
    </mc:Choice>
  </mc:AlternateContent>
  <xr:revisionPtr revIDLastSave="0" documentId="13_ncr:1_{51D81C1C-741E-405C-A9CC-941009442CF5}" xr6:coauthVersionLast="47" xr6:coauthVersionMax="47" xr10:uidLastSave="{00000000-0000-0000-0000-000000000000}"/>
  <bookViews>
    <workbookView xWindow="810" yWindow="-120" windowWidth="28110" windowHeight="16440" activeTab="1" xr2:uid="{D21413F4-D28C-4808-9E8C-C5D1654D0F61}"/>
  </bookViews>
  <sheets>
    <sheet name="Index" sheetId="4" r:id="rId1"/>
    <sheet name="Sheet1" sheetId="1" r:id="rId2"/>
    <sheet name="Sheet2" sheetId="2" r:id="rId3"/>
    <sheet name="Sheet3" sheetId="3" r:id="rId4"/>
    <sheet name="Sheet5" sheetId="5" r:id="rId5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2" i="3" l="1"/>
  <c r="C21" i="3"/>
  <c r="C21" i="2"/>
</calcChain>
</file>

<file path=xl/sharedStrings.xml><?xml version="1.0" encoding="utf-8"?>
<sst xmlns="http://schemas.openxmlformats.org/spreadsheetml/2006/main" count="70" uniqueCount="34">
  <si>
    <t>Ashish Sharma</t>
  </si>
  <si>
    <t>CHF million</t>
  </si>
  <si>
    <t>December 31, 
2021</t>
  </si>
  <si>
    <t>December 31, 
2020</t>
  </si>
  <si>
    <t>Assets</t>
  </si>
  <si>
    <t>Cash and cash equivalents</t>
  </si>
  <si>
    <t>Marketable securities and time deposits</t>
  </si>
  <si>
    <t>Trade receivables</t>
  </si>
  <si>
    <t>Other current receivables</t>
  </si>
  <si>
    <t>Current income tax receivables</t>
  </si>
  <si>
    <t>Inventories</t>
  </si>
  <si>
    <t>Assets classified as held for sale</t>
  </si>
  <si>
    <t>Current assets</t>
  </si>
  <si>
    <t>Property, plant and equipment</t>
  </si>
  <si>
    <r>
      <t>Intangible assets</t>
    </r>
    <r>
      <rPr>
        <vertAlign val="superscript"/>
        <sz val="10"/>
        <rFont val="Arial"/>
        <family val="2"/>
      </rPr>
      <t>1</t>
    </r>
  </si>
  <si>
    <r>
      <t>Goodwill</t>
    </r>
    <r>
      <rPr>
        <vertAlign val="superscript"/>
        <sz val="10"/>
        <rFont val="Arial"/>
        <family val="2"/>
      </rPr>
      <t>1</t>
    </r>
  </si>
  <si>
    <t>Prepaid consideration for acquisition</t>
  </si>
  <si>
    <t>Investments in associated companies</t>
  </si>
  <si>
    <t>Defined benefit plan assets</t>
  </si>
  <si>
    <t>Deferred income tax assets</t>
  </si>
  <si>
    <t>Other non-current assets</t>
  </si>
  <si>
    <t>Non-current assets</t>
  </si>
  <si>
    <t>Liabilities and shareholders’ equity</t>
  </si>
  <si>
    <t>Current financial debt</t>
  </si>
  <si>
    <t>Trade payables</t>
  </si>
  <si>
    <t>Other current liabilities</t>
  </si>
  <si>
    <t>Advance payments from customers</t>
  </si>
  <si>
    <t>Current income tax liabilities</t>
  </si>
  <si>
    <t>Current provisions</t>
  </si>
  <si>
    <t>Current liabilities</t>
  </si>
  <si>
    <t>Non-current financial debt</t>
  </si>
  <si>
    <t>Defined benefit plan liabilities</t>
  </si>
  <si>
    <t>Deferred income tax liabilities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</si>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</sst>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\ ##0.0"/>
    <numFmt numFmtId="165" formatCode="#,##0.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vertAlign val="superscript"/>
      <sz val="10"/>
      <name val="Arial"/>
      <family val="2"/>
    </font>
    <font>
      <b/>
      <sz val="10"/>
      <color rgb="FF69BBFF"/>
      <name val="Arial"/>
      <family val="2"/>
    </font>
    <font>
      <sz val="12"/>
      <color rgb="FF69BBFF"/>
      <name val="Arial"/>
      <family val="2"/>
    </font>
    <font>
      <sz val="10"/>
      <color rgb="FF69BBFF"/>
      <name val="Arial"/>
      <family val="2"/>
    </font>
    <font>
      <sz val="8"/>
      <name val="Segoe UI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/>
      <right/>
      <top style="thin">
        <color rgb="FF69BBFF"/>
      </top>
      <bottom style="thin">
        <color rgb="FF69BBFF"/>
      </bottom>
      <diagonal/>
    </border>
    <border>
      <left/>
      <right/>
      <top style="thin">
        <color indexed="8"/>
      </top>
      <bottom/>
      <diagonal/>
    </border>
  </borders>
  <cellStyleXfs count="3">
    <xf numFmtId="0" fontId="0" fillId="0" borderId="0"/>
    <xf numFmtId="0" fontId="2" fillId="0" borderId="0"/>
    <xf numFmtId="0" fontId="2" fillId="0" borderId="0"/>
  </cellStyleXfs>
  <cellXfs count="26">
    <xf numFmtId="0" fontId="0" fillId="0" borderId="0" xfId="0"/>
    <xf numFmtId="0" fontId="1" fillId="0" borderId="0" xfId="0" applyFont="1"/>
    <xf numFmtId="0" fontId="4" fillId="0" borderId="2" xfId="2" applyFont="1" applyFill="1" applyBorder="1"/>
    <xf numFmtId="164" fontId="7" fillId="0" borderId="0" xfId="2" applyNumberFormat="1" applyFont="1" applyFill="1" applyBorder="1" applyAlignment="1" applyProtection="1">
      <alignment horizontal="right"/>
    </xf>
    <xf numFmtId="0" fontId="4" fillId="0" borderId="1" xfId="2" applyFont="1" applyFill="1" applyBorder="1" applyAlignment="1">
      <alignment horizontal="left"/>
    </xf>
    <xf numFmtId="164" fontId="4" fillId="0" borderId="1" xfId="2" applyNumberFormat="1" applyFont="1" applyFill="1" applyBorder="1" applyAlignment="1" applyProtection="1">
      <alignment horizontal="right"/>
    </xf>
    <xf numFmtId="164" fontId="4" fillId="0" borderId="0" xfId="2" applyNumberFormat="1" applyFont="1" applyFill="1" applyBorder="1" applyAlignment="1" applyProtection="1">
      <alignment horizontal="right"/>
    </xf>
    <xf numFmtId="0" fontId="2" fillId="0" borderId="1" xfId="2" applyFont="1" applyFill="1" applyBorder="1" applyAlignment="1">
      <alignment horizontal="left"/>
    </xf>
    <xf numFmtId="164" fontId="2" fillId="0" borderId="1" xfId="2" applyNumberFormat="1" applyFont="1" applyFill="1" applyBorder="1" applyAlignment="1" applyProtection="1">
      <alignment horizontal="right"/>
    </xf>
    <xf numFmtId="0" fontId="4" fillId="0" borderId="0" xfId="2" applyFont="1" applyFill="1" applyBorder="1"/>
    <xf numFmtId="164" fontId="7" fillId="0" borderId="1" xfId="2" applyNumberFormat="1" applyFont="1" applyFill="1" applyBorder="1" applyAlignment="1" applyProtection="1">
      <alignment horizontal="right"/>
    </xf>
    <xf numFmtId="0" fontId="3" fillId="0" borderId="2" xfId="2" applyFont="1" applyFill="1" applyBorder="1" applyAlignment="1">
      <alignment horizontal="left" wrapText="1"/>
    </xf>
    <xf numFmtId="15" fontId="7" fillId="0" borderId="2" xfId="2" applyNumberFormat="1" applyFont="1" applyFill="1" applyBorder="1" applyAlignment="1">
      <alignment horizontal="right" wrapText="1"/>
    </xf>
    <xf numFmtId="15" fontId="4" fillId="0" borderId="2" xfId="2" applyNumberFormat="1" applyFont="1" applyFill="1" applyBorder="1" applyAlignment="1">
      <alignment horizontal="right" wrapText="1"/>
    </xf>
    <xf numFmtId="0" fontId="8" fillId="0" borderId="1" xfId="2" applyFont="1" applyFill="1" applyBorder="1" applyAlignment="1">
      <alignment horizontal="right"/>
    </xf>
    <xf numFmtId="0" fontId="5" fillId="0" borderId="1" xfId="2" applyFont="1" applyFill="1" applyBorder="1" applyAlignment="1">
      <alignment horizontal="right"/>
    </xf>
    <xf numFmtId="164" fontId="9" fillId="0" borderId="1" xfId="2" applyNumberFormat="1" applyFont="1" applyFill="1" applyBorder="1" applyAlignment="1" applyProtection="1">
      <alignment horizontal="right"/>
    </xf>
    <xf numFmtId="165" fontId="2" fillId="0" borderId="1" xfId="2" applyNumberFormat="1" applyFont="1" applyFill="1" applyBorder="1" applyAlignment="1" applyProtection="1">
      <alignment horizontal="right"/>
    </xf>
    <xf numFmtId="0" fontId="4" fillId="0" borderId="4" xfId="2" applyFont="1" applyFill="1" applyBorder="1" applyAlignment="1">
      <alignment horizontal="left"/>
    </xf>
    <xf numFmtId="164" fontId="7" fillId="0" borderId="4" xfId="2" applyNumberFormat="1" applyFont="1" applyFill="1" applyBorder="1" applyAlignment="1" applyProtection="1">
      <alignment horizontal="right"/>
    </xf>
    <xf numFmtId="164" fontId="4" fillId="0" borderId="4" xfId="2" applyNumberFormat="1" applyFont="1" applyFill="1" applyBorder="1" applyAlignment="1" applyProtection="1">
      <alignment horizontal="right"/>
    </xf>
    <xf numFmtId="164" fontId="7" fillId="0" borderId="2" xfId="2" applyNumberFormat="1" applyFont="1" applyFill="1" applyBorder="1" applyAlignment="1" applyProtection="1">
      <alignment horizontal="right"/>
    </xf>
    <xf numFmtId="164" fontId="4" fillId="0" borderId="2" xfId="2" applyNumberFormat="1" applyFont="1" applyFill="1" applyBorder="1" applyAlignment="1" applyProtection="1">
      <alignment horizontal="right"/>
    </xf>
    <xf numFmtId="0" fontId="4" fillId="0" borderId="3" xfId="2" applyFont="1" applyFill="1" applyBorder="1"/>
    <xf numFmtId="164" fontId="7" fillId="0" borderId="3" xfId="2" applyNumberFormat="1" applyFont="1" applyFill="1" applyBorder="1" applyAlignment="1" applyProtection="1">
      <alignment horizontal="right"/>
    </xf>
    <xf numFmtId="164" fontId="4" fillId="0" borderId="3" xfId="2" applyNumberFormat="1" applyFont="1" applyFill="1" applyBorder="1" applyAlignment="1" applyProtection="1">
      <alignment horizontal="right"/>
    </xf>
  </cellXfs>
  <cellStyles count="3">
    <cellStyle name="Normal" xfId="0" builtinId="0"/>
    <cellStyle name="Normal 2" xfId="2" xr:uid="{0A180BF6-269A-4D07-9FB9-A45B013E535A}"/>
    <cellStyle name="Normal 3" xfId="1" xr:uid="{8E06FDAE-E17D-4BD5-8FFF-87B5707DE77F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Drop" dropStyle="combo" dx="22" noThreeD="1" sel="0" val="0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Spin" dx="22" max="30000" page="10" val="0"/>
</file>

<file path=xl/ctrlProps/ctrlProp7.xml><?xml version="1.0" encoding="utf-8"?>
<formControlPr xmlns="http://schemas.microsoft.com/office/spreadsheetml/2009/9/main" objectType="List" dx="22" noThreeD="1" sel="0" val="0"/>
</file>

<file path=xl/ctrlProps/ctrlProp8.xml><?xml version="1.0" encoding="utf-8"?>
<formControlPr xmlns="http://schemas.microsoft.com/office/spreadsheetml/2009/9/main" objectType="Radio" firstButton="1" lockText="1" noThreeD="1"/>
</file>

<file path=xl/ctrlProps/ctrlProp9.xml><?xml version="1.0" encoding="utf-8"?>
<formControlPr xmlns="http://schemas.microsoft.com/office/spreadsheetml/2009/9/main" objectType="GBox" noThreeD="1"/>
</file>

<file path=xl/ctrlProps/ctrlProp10.xml><?xml version="1.0" encoding="utf-8"?>
<formControlPr xmlns="http://schemas.microsoft.com/office/spreadsheetml/2009/9/main" objectType="Label" lockText="1"/>
</file>

<file path=xl/ctrlProps/ctrlProp11.xml><?xml version="1.0" encoding="utf-8"?>
<formControlPr xmlns="http://schemas.microsoft.com/office/spreadsheetml/2009/9/main" objectType="Scroll" dx="22" max="100" page="10" val="0"/>
</file>

<file path=xl/ctrlProps/ctrlProp1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0</xdr:row>
          <xdr:rowOff>171450</xdr:rowOff>
        </xdr:from>
        <xdr:to>
          <xdr:col>1</xdr:col>
          <xdr:colOff>581025</xdr:colOff>
          <xdr:row>2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Sheet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</xdr:row>
          <xdr:rowOff>171450</xdr:rowOff>
        </xdr:from>
        <xdr:to>
          <xdr:col>1</xdr:col>
          <xdr:colOff>581025</xdr:colOff>
          <xdr:row>6</xdr:row>
          <xdr:rowOff>28575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1CB3C7D8-5753-4DA8-BF3C-80A6C23974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Sheet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8</xdr:row>
          <xdr:rowOff>171450</xdr:rowOff>
        </xdr:from>
        <xdr:to>
          <xdr:col>1</xdr:col>
          <xdr:colOff>581025</xdr:colOff>
          <xdr:row>10</xdr:row>
          <xdr:rowOff>28575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FF381512-AE72-4F06-BFB1-5A560F4899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Sheet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247649</xdr:colOff>
          <xdr:row>4</xdr:row>
          <xdr:rowOff>152400</xdr:rowOff>
        </xdr:from>
        <xdr:to>
          <xdr:col>12</xdr:col>
          <xdr:colOff>28574</xdr:colOff>
          <xdr:row>9</xdr:row>
          <xdr:rowOff>114300</xdr:rowOff>
        </xdr:to>
        <xdr:sp macro="" textlink="">
          <xdr:nvSpPr>
            <xdr:cNvPr id="4100" name="Drop Dow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3</xdr:row>
          <xdr:rowOff>9525</xdr:rowOff>
        </xdr:from>
        <xdr:to>
          <xdr:col>8</xdr:col>
          <xdr:colOff>257175</xdr:colOff>
          <xdr:row>4</xdr:row>
          <xdr:rowOff>28575</xdr:rowOff>
        </xdr:to>
        <xdr:sp macro="" textlink="">
          <xdr:nvSpPr>
            <xdr:cNvPr id="4101" name="Check Box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Check Box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361950</xdr:colOff>
          <xdr:row>2</xdr:row>
          <xdr:rowOff>85725</xdr:rowOff>
        </xdr:from>
        <xdr:to>
          <xdr:col>17</xdr:col>
          <xdr:colOff>571500</xdr:colOff>
          <xdr:row>19</xdr:row>
          <xdr:rowOff>123825</xdr:rowOff>
        </xdr:to>
        <xdr:sp macro="" textlink="">
          <xdr:nvSpPr>
            <xdr:cNvPr id="4102" name="Spinner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371475</xdr:colOff>
          <xdr:row>8</xdr:row>
          <xdr:rowOff>28575</xdr:rowOff>
        </xdr:from>
        <xdr:to>
          <xdr:col>9</xdr:col>
          <xdr:colOff>66675</xdr:colOff>
          <xdr:row>12</xdr:row>
          <xdr:rowOff>171450</xdr:rowOff>
        </xdr:to>
        <xdr:sp macro="" textlink="">
          <xdr:nvSpPr>
            <xdr:cNvPr id="4103" name="List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5</xdr:row>
          <xdr:rowOff>133350</xdr:rowOff>
        </xdr:from>
        <xdr:to>
          <xdr:col>11</xdr:col>
          <xdr:colOff>123825</xdr:colOff>
          <xdr:row>6</xdr:row>
          <xdr:rowOff>152400</xdr:rowOff>
        </xdr:to>
        <xdr:sp macro="" textlink="">
          <xdr:nvSpPr>
            <xdr:cNvPr id="4104" name="Option 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Option Button 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428625</xdr:colOff>
          <xdr:row>17</xdr:row>
          <xdr:rowOff>28575</xdr:rowOff>
        </xdr:from>
        <xdr:to>
          <xdr:col>12</xdr:col>
          <xdr:colOff>142875</xdr:colOff>
          <xdr:row>22</xdr:row>
          <xdr:rowOff>19050</xdr:rowOff>
        </xdr:to>
        <xdr:sp macro="" textlink="">
          <xdr:nvSpPr>
            <xdr:cNvPr id="4105" name="Group Box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Group Box 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19050</xdr:colOff>
          <xdr:row>17</xdr:row>
          <xdr:rowOff>95250</xdr:rowOff>
        </xdr:from>
        <xdr:ext cx="428625" cy="161925"/>
        <xdr:sp macro="" textlink="">
          <xdr:nvSpPr>
            <xdr:cNvPr id="4106" name="Label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10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571499</xdr:colOff>
          <xdr:row>1</xdr:row>
          <xdr:rowOff>66674</xdr:rowOff>
        </xdr:from>
        <xdr:to>
          <xdr:col>21</xdr:col>
          <xdr:colOff>276224</xdr:colOff>
          <xdr:row>21</xdr:row>
          <xdr:rowOff>171449</xdr:rowOff>
        </xdr:to>
        <xdr:sp macro="" textlink="">
          <xdr:nvSpPr>
            <xdr:cNvPr id="4107" name="Scroll Bar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476250</xdr:colOff>
          <xdr:row>12</xdr:row>
          <xdr:rowOff>19050</xdr:rowOff>
        </xdr:from>
        <xdr:to>
          <xdr:col>16</xdr:col>
          <xdr:colOff>171450</xdr:colOff>
          <xdr:row>13</xdr:row>
          <xdr:rowOff>133350</xdr:rowOff>
        </xdr:to>
        <xdr:sp macro="" textlink="">
          <xdr:nvSpPr>
            <xdr:cNvPr id="4108" name="CommandButton1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0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276225</xdr:colOff>
          <xdr:row>18</xdr:row>
          <xdr:rowOff>9524</xdr:rowOff>
        </xdr:from>
        <xdr:to>
          <xdr:col>16</xdr:col>
          <xdr:colOff>581025</xdr:colOff>
          <xdr:row>26</xdr:row>
          <xdr:rowOff>114299</xdr:rowOff>
        </xdr:to>
        <xdr:sp macro="" textlink="">
          <xdr:nvSpPr>
            <xdr:cNvPr id="4109" name="ComboBox1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0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514350</xdr:colOff>
          <xdr:row>22</xdr:row>
          <xdr:rowOff>171450</xdr:rowOff>
        </xdr:from>
        <xdr:to>
          <xdr:col>12</xdr:col>
          <xdr:colOff>323850</xdr:colOff>
          <xdr:row>31</xdr:row>
          <xdr:rowOff>123825</xdr:rowOff>
        </xdr:to>
        <xdr:sp macro="" textlink="">
          <xdr:nvSpPr>
            <xdr:cNvPr id="4110" name="Image1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0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523875</xdr:colOff>
          <xdr:row>25</xdr:row>
          <xdr:rowOff>76200</xdr:rowOff>
        </xdr:from>
        <xdr:to>
          <xdr:col>5</xdr:col>
          <xdr:colOff>504825</xdr:colOff>
          <xdr:row>30</xdr:row>
          <xdr:rowOff>104775</xdr:rowOff>
        </xdr:to>
        <xdr:sp macro="" textlink="">
          <xdr:nvSpPr>
            <xdr:cNvPr id="4111" name="ToggleButton1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28575</xdr:rowOff>
        </xdr:from>
        <xdr:to>
          <xdr:col>7</xdr:col>
          <xdr:colOff>590550</xdr:colOff>
          <xdr:row>0</xdr:row>
          <xdr:rowOff>476250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trlProp" Target="../ctrlProps/ctrlProp3.xml"/><Relationship Id="rId18" Type="http://schemas.openxmlformats.org/officeDocument/2006/relationships/ctrlProp" Target="../ctrlProps/ctrlProp8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11.xml"/><Relationship Id="rId7" Type="http://schemas.openxmlformats.org/officeDocument/2006/relationships/control" Target="../activeX/activeX3.xml"/><Relationship Id="rId12" Type="http://schemas.openxmlformats.org/officeDocument/2006/relationships/ctrlProp" Target="../ctrlProps/ctrlProp2.xml"/><Relationship Id="rId17" Type="http://schemas.openxmlformats.org/officeDocument/2006/relationships/ctrlProp" Target="../ctrlProps/ctrlProp7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6.xml"/><Relationship Id="rId20" Type="http://schemas.openxmlformats.org/officeDocument/2006/relationships/ctrlProp" Target="../ctrlProps/ctrlProp10.x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trlProp" Target="../ctrlProps/ctrlProp1.xml"/><Relationship Id="rId5" Type="http://schemas.openxmlformats.org/officeDocument/2006/relationships/control" Target="../activeX/activeX2.xml"/><Relationship Id="rId15" Type="http://schemas.openxmlformats.org/officeDocument/2006/relationships/ctrlProp" Target="../ctrlProps/ctrlProp5.xml"/><Relationship Id="rId10" Type="http://schemas.openxmlformats.org/officeDocument/2006/relationships/image" Target="../media/image4.emf"/><Relationship Id="rId19" Type="http://schemas.openxmlformats.org/officeDocument/2006/relationships/ctrlProp" Target="../ctrlProps/ctrlProp9.xml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7FE726-199A-44CD-88E0-68D0E6691BD5}">
  <sheetPr codeName="Sheet4">
    <tabColor theme="1"/>
  </sheetPr>
  <dimension ref="A1"/>
  <sheetViews>
    <sheetView workbookViewId="0">
      <selection activeCell="C33" sqref="C33"/>
    </sheetView>
  </sheetViews>
  <sheetFormatPr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111" r:id="rId3" name="ToggleButton1">
          <controlPr defaultSize="0" autoLine="0" autoPict="0" r:id="rId4">
            <anchor moveWithCells="1">
              <from>
                <xdr:col>2</xdr:col>
                <xdr:colOff>523875</xdr:colOff>
                <xdr:row>25</xdr:row>
                <xdr:rowOff>76200</xdr:rowOff>
              </from>
              <to>
                <xdr:col>5</xdr:col>
                <xdr:colOff>504825</xdr:colOff>
                <xdr:row>30</xdr:row>
                <xdr:rowOff>104775</xdr:rowOff>
              </to>
            </anchor>
          </controlPr>
        </control>
      </mc:Choice>
      <mc:Fallback>
        <control shapeId="4111" r:id="rId3" name="ToggleButton1"/>
      </mc:Fallback>
    </mc:AlternateContent>
    <mc:AlternateContent xmlns:mc="http://schemas.openxmlformats.org/markup-compatibility/2006">
      <mc:Choice Requires="x14">
        <control shapeId="4110" r:id="rId5" name="Image1">
          <controlPr defaultSize="0" autoLine="0" autoPict="0" r:id="rId6">
            <anchor moveWithCells="1">
              <from>
                <xdr:col>6</xdr:col>
                <xdr:colOff>514350</xdr:colOff>
                <xdr:row>22</xdr:row>
                <xdr:rowOff>171450</xdr:rowOff>
              </from>
              <to>
                <xdr:col>12</xdr:col>
                <xdr:colOff>323850</xdr:colOff>
                <xdr:row>31</xdr:row>
                <xdr:rowOff>123825</xdr:rowOff>
              </to>
            </anchor>
          </controlPr>
        </control>
      </mc:Choice>
      <mc:Fallback>
        <control shapeId="4110" r:id="rId5" name="Image1"/>
      </mc:Fallback>
    </mc:AlternateContent>
    <mc:AlternateContent xmlns:mc="http://schemas.openxmlformats.org/markup-compatibility/2006">
      <mc:Choice Requires="x14">
        <control shapeId="4109" r:id="rId7" name="ComboBox1">
          <controlPr defaultSize="0" autoLine="0" autoPict="0" r:id="rId8">
            <anchor moveWithCells="1">
              <from>
                <xdr:col>15</xdr:col>
                <xdr:colOff>276225</xdr:colOff>
                <xdr:row>18</xdr:row>
                <xdr:rowOff>9525</xdr:rowOff>
              </from>
              <to>
                <xdr:col>16</xdr:col>
                <xdr:colOff>581025</xdr:colOff>
                <xdr:row>26</xdr:row>
                <xdr:rowOff>114300</xdr:rowOff>
              </to>
            </anchor>
          </controlPr>
        </control>
      </mc:Choice>
      <mc:Fallback>
        <control shapeId="4109" r:id="rId7" name="ComboBox1"/>
      </mc:Fallback>
    </mc:AlternateContent>
    <mc:AlternateContent xmlns:mc="http://schemas.openxmlformats.org/markup-compatibility/2006">
      <mc:Choice Requires="x14">
        <control shapeId="4108" r:id="rId9" name="CommandButton1">
          <controlPr defaultSize="0" autoLine="0" r:id="rId10">
            <anchor moveWithCells="1">
              <from>
                <xdr:col>14</xdr:col>
                <xdr:colOff>476250</xdr:colOff>
                <xdr:row>12</xdr:row>
                <xdr:rowOff>19050</xdr:rowOff>
              </from>
              <to>
                <xdr:col>16</xdr:col>
                <xdr:colOff>171450</xdr:colOff>
                <xdr:row>13</xdr:row>
                <xdr:rowOff>133350</xdr:rowOff>
              </to>
            </anchor>
          </controlPr>
        </control>
      </mc:Choice>
      <mc:Fallback>
        <control shapeId="4108" r:id="rId9" name="CommandButton1"/>
      </mc:Fallback>
    </mc:AlternateContent>
    <mc:AlternateContent xmlns:mc="http://schemas.openxmlformats.org/markup-compatibility/2006">
      <mc:Choice Requires="x14">
        <control shapeId="4097" r:id="rId11" name="Button 1">
          <controlPr defaultSize="0" print="0" autoFill="0" autoPict="0" macro="[0]!NavSheet1">
            <anchor moveWithCells="1">
              <from>
                <xdr:col>1</xdr:col>
                <xdr:colOff>38100</xdr:colOff>
                <xdr:row>0</xdr:row>
                <xdr:rowOff>171450</xdr:rowOff>
              </from>
              <to>
                <xdr:col>1</xdr:col>
                <xdr:colOff>581025</xdr:colOff>
                <xdr:row>2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8" r:id="rId12" name="Button 2">
          <controlPr defaultSize="0" print="0" autoFill="0" autoPict="0" macro="[0]!NavSheet2">
            <anchor moveWithCells="1">
              <from>
                <xdr:col>1</xdr:col>
                <xdr:colOff>38100</xdr:colOff>
                <xdr:row>4</xdr:row>
                <xdr:rowOff>171450</xdr:rowOff>
              </from>
              <to>
                <xdr:col>1</xdr:col>
                <xdr:colOff>581025</xdr:colOff>
                <xdr:row>6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9" r:id="rId13" name="Button 3">
          <controlPr defaultSize="0" print="0" autoFill="0" autoPict="0" macro="[0]!NavSheet3">
            <anchor moveWithCells="1">
              <from>
                <xdr:col>1</xdr:col>
                <xdr:colOff>38100</xdr:colOff>
                <xdr:row>8</xdr:row>
                <xdr:rowOff>171450</xdr:rowOff>
              </from>
              <to>
                <xdr:col>1</xdr:col>
                <xdr:colOff>581025</xdr:colOff>
                <xdr:row>10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00" r:id="rId14" name="Drop Down 4">
          <controlPr defaultSize="0" autoLine="0" autoPict="0">
            <anchor moveWithCells="1">
              <from>
                <xdr:col>11</xdr:col>
                <xdr:colOff>247650</xdr:colOff>
                <xdr:row>4</xdr:row>
                <xdr:rowOff>152400</xdr:rowOff>
              </from>
              <to>
                <xdr:col>12</xdr:col>
                <xdr:colOff>28575</xdr:colOff>
                <xdr:row>9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01" r:id="rId15" name="Check Box 5">
          <controlPr defaultSize="0" autoFill="0" autoLine="0" autoPict="0">
            <anchor moveWithCells="1">
              <from>
                <xdr:col>7</xdr:col>
                <xdr:colOff>66675</xdr:colOff>
                <xdr:row>3</xdr:row>
                <xdr:rowOff>9525</xdr:rowOff>
              </from>
              <to>
                <xdr:col>8</xdr:col>
                <xdr:colOff>257175</xdr:colOff>
                <xdr:row>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02" r:id="rId16" name="Spinner 6">
          <controlPr defaultSize="0" autoPict="0">
            <anchor moveWithCells="1" sizeWithCells="1">
              <from>
                <xdr:col>17</xdr:col>
                <xdr:colOff>361950</xdr:colOff>
                <xdr:row>2</xdr:row>
                <xdr:rowOff>85725</xdr:rowOff>
              </from>
              <to>
                <xdr:col>17</xdr:col>
                <xdr:colOff>571500</xdr:colOff>
                <xdr:row>19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03" r:id="rId17" name="List Box 7">
          <controlPr defaultSize="0" autoLine="0" autoPict="0">
            <anchor moveWithCells="1">
              <from>
                <xdr:col>7</xdr:col>
                <xdr:colOff>371475</xdr:colOff>
                <xdr:row>8</xdr:row>
                <xdr:rowOff>28575</xdr:rowOff>
              </from>
              <to>
                <xdr:col>9</xdr:col>
                <xdr:colOff>66675</xdr:colOff>
                <xdr:row>12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04" r:id="rId18" name="Option Button 8">
          <controlPr defaultSize="0" autoFill="0" autoLine="0" autoPict="0">
            <anchor moveWithCells="1">
              <from>
                <xdr:col>9</xdr:col>
                <xdr:colOff>323850</xdr:colOff>
                <xdr:row>5</xdr:row>
                <xdr:rowOff>133350</xdr:rowOff>
              </from>
              <to>
                <xdr:col>11</xdr:col>
                <xdr:colOff>123825</xdr:colOff>
                <xdr:row>6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05" r:id="rId19" name="Group Box 9">
          <controlPr defaultSize="0" autoFill="0" autoPict="0">
            <anchor moveWithCells="1">
              <from>
                <xdr:col>10</xdr:col>
                <xdr:colOff>428625</xdr:colOff>
                <xdr:row>17</xdr:row>
                <xdr:rowOff>28575</xdr:rowOff>
              </from>
              <to>
                <xdr:col>12</xdr:col>
                <xdr:colOff>142875</xdr:colOff>
                <xdr:row>22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06" r:id="rId20" name="Label 10">
          <controlPr defaultSize="0" autoFill="0" autoLine="0" autoPict="0">
            <anchor moveWithCells="1">
              <from>
                <xdr:col>7</xdr:col>
                <xdr:colOff>19050</xdr:colOff>
                <xdr:row>17</xdr:row>
                <xdr:rowOff>95250</xdr:rowOff>
              </from>
              <to>
                <xdr:col>7</xdr:col>
                <xdr:colOff>447675</xdr:colOff>
                <xdr:row>18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07" r:id="rId21" name="Scroll Bar 11">
          <controlPr defaultSize="0" autoPict="0">
            <anchor moveWithCells="1">
              <from>
                <xdr:col>20</xdr:col>
                <xdr:colOff>571500</xdr:colOff>
                <xdr:row>1</xdr:row>
                <xdr:rowOff>66675</xdr:rowOff>
              </from>
              <to>
                <xdr:col>21</xdr:col>
                <xdr:colOff>276225</xdr:colOff>
                <xdr:row>21</xdr:row>
                <xdr:rowOff>171450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045B46-B65A-46CD-B167-12D50BB771E0}">
  <sheetPr codeName="Sheet1">
    <tabColor rgb="FFFFFF00"/>
  </sheetPr>
  <dimension ref="A1"/>
  <sheetViews>
    <sheetView tabSelected="1" workbookViewId="0">
      <selection activeCell="E31" sqref="E31"/>
    </sheetView>
  </sheetViews>
  <sheetFormatPr defaultRowHeight="15" x14ac:dyDescent="0.25"/>
  <sheetData>
    <row r="1" spans="1:1" x14ac:dyDescent="0.25">
      <c r="A1" s="1" t="s"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64508-017A-475F-A798-33F490E84FDE}">
  <sheetPr codeName="Sheet2">
    <tabColor theme="9" tint="-0.249977111117893"/>
  </sheetPr>
  <dimension ref="A1:C32"/>
  <sheetViews>
    <sheetView workbookViewId="0"/>
  </sheetViews>
  <sheetFormatPr defaultRowHeight="15" x14ac:dyDescent="0.25"/>
  <sheetData>
    <row r="1" spans="1:3" ht="39" x14ac:dyDescent="0.25">
      <c r="A1" s="11" t="s">
        <v>1</v>
      </c>
      <c r="B1" s="12" t="s">
        <v>2</v>
      </c>
      <c r="C1" s="13" t="s">
        <v>3</v>
      </c>
    </row>
    <row r="2" spans="1:3" ht="15.75" x14ac:dyDescent="0.25">
      <c r="A2" s="4" t="s">
        <v>4</v>
      </c>
      <c r="B2" s="14"/>
      <c r="C2" s="15"/>
    </row>
    <row r="3" spans="1:3" x14ac:dyDescent="0.25">
      <c r="A3" s="7" t="s">
        <v>5</v>
      </c>
      <c r="B3" s="16">
        <v>248.7</v>
      </c>
      <c r="C3" s="8">
        <v>282.3</v>
      </c>
    </row>
    <row r="4" spans="1:3" x14ac:dyDescent="0.25">
      <c r="A4" s="7" t="s">
        <v>6</v>
      </c>
      <c r="B4" s="16">
        <v>0.7</v>
      </c>
      <c r="C4" s="8">
        <v>0.9</v>
      </c>
    </row>
    <row r="5" spans="1:3" x14ac:dyDescent="0.25">
      <c r="A5" s="7" t="s">
        <v>7</v>
      </c>
      <c r="B5" s="16">
        <v>122</v>
      </c>
      <c r="C5" s="8">
        <v>50.4</v>
      </c>
    </row>
    <row r="6" spans="1:3" x14ac:dyDescent="0.25">
      <c r="A6" s="7" t="s">
        <v>8</v>
      </c>
      <c r="B6" s="16">
        <v>80.099999999999994</v>
      </c>
      <c r="C6" s="8">
        <v>26.1</v>
      </c>
    </row>
    <row r="7" spans="1:3" x14ac:dyDescent="0.25">
      <c r="A7" s="7" t="s">
        <v>9</v>
      </c>
      <c r="B7" s="16">
        <v>3.1</v>
      </c>
      <c r="C7" s="8">
        <v>3.5</v>
      </c>
    </row>
    <row r="8" spans="1:3" x14ac:dyDescent="0.25">
      <c r="A8" s="7" t="s">
        <v>10</v>
      </c>
      <c r="B8" s="16">
        <v>249.6</v>
      </c>
      <c r="C8" s="8">
        <v>192.5</v>
      </c>
    </row>
    <row r="9" spans="1:3" x14ac:dyDescent="0.25">
      <c r="A9" s="7" t="s">
        <v>11</v>
      </c>
      <c r="B9" s="16">
        <v>14.7</v>
      </c>
      <c r="C9" s="8">
        <v>0</v>
      </c>
    </row>
    <row r="10" spans="1:3" x14ac:dyDescent="0.25">
      <c r="A10" s="4" t="s">
        <v>12</v>
      </c>
      <c r="B10" s="10">
        <v>718.90000000000009</v>
      </c>
      <c r="C10" s="5">
        <v>555.70000000000005</v>
      </c>
    </row>
    <row r="11" spans="1:3" x14ac:dyDescent="0.25">
      <c r="A11" s="7" t="s">
        <v>13</v>
      </c>
      <c r="B11" s="16">
        <v>234.2</v>
      </c>
      <c r="C11" s="8">
        <v>210.6</v>
      </c>
    </row>
    <row r="12" spans="1:3" x14ac:dyDescent="0.25">
      <c r="A12" s="7" t="s">
        <v>14</v>
      </c>
      <c r="B12" s="16">
        <v>86.8</v>
      </c>
      <c r="C12" s="8">
        <v>46</v>
      </c>
    </row>
    <row r="13" spans="1:3" x14ac:dyDescent="0.25">
      <c r="A13" s="7" t="s">
        <v>15</v>
      </c>
      <c r="B13" s="16">
        <v>91.6</v>
      </c>
      <c r="C13" s="8">
        <v>43.5</v>
      </c>
    </row>
    <row r="14" spans="1:3" x14ac:dyDescent="0.25">
      <c r="A14" s="7" t="s">
        <v>16</v>
      </c>
      <c r="B14" s="16">
        <v>191.8</v>
      </c>
      <c r="C14" s="8">
        <v>0</v>
      </c>
    </row>
    <row r="15" spans="1:3" x14ac:dyDescent="0.25">
      <c r="A15" s="7" t="s">
        <v>17</v>
      </c>
      <c r="B15" s="16">
        <v>17.100000000000001</v>
      </c>
      <c r="C15" s="8">
        <v>15.8</v>
      </c>
    </row>
    <row r="16" spans="1:3" x14ac:dyDescent="0.25">
      <c r="A16" s="7" t="s">
        <v>18</v>
      </c>
      <c r="B16" s="16">
        <v>62.8</v>
      </c>
      <c r="C16" s="8">
        <v>62.7</v>
      </c>
    </row>
    <row r="17" spans="1:3" x14ac:dyDescent="0.25">
      <c r="A17" s="7" t="s">
        <v>19</v>
      </c>
      <c r="B17" s="16">
        <v>25.8</v>
      </c>
      <c r="C17" s="8">
        <v>22.1</v>
      </c>
    </row>
    <row r="18" spans="1:3" x14ac:dyDescent="0.25">
      <c r="A18" s="7" t="s">
        <v>20</v>
      </c>
      <c r="B18" s="16">
        <v>7.3</v>
      </c>
      <c r="C18" s="8">
        <v>7.1</v>
      </c>
    </row>
    <row r="19" spans="1:3" x14ac:dyDescent="0.25">
      <c r="A19" s="18" t="s">
        <v>21</v>
      </c>
      <c r="B19" s="19">
        <v>717.4</v>
      </c>
      <c r="C19" s="20">
        <v>407.80000000000007</v>
      </c>
    </row>
    <row r="20" spans="1:3" x14ac:dyDescent="0.25">
      <c r="A20" s="23" t="s">
        <v>4</v>
      </c>
      <c r="B20" s="24">
        <v>1436.3000000000002</v>
      </c>
      <c r="C20" s="25">
        <v>963.50000000000011</v>
      </c>
    </row>
    <row r="21" spans="1:3" x14ac:dyDescent="0.25">
      <c r="A21" s="2" t="s">
        <v>33</v>
      </c>
      <c r="B21" s="21"/>
      <c r="C21" s="22">
        <f>COUNTA(C3:C20)</f>
        <v>18</v>
      </c>
    </row>
    <row r="22" spans="1:3" x14ac:dyDescent="0.25">
      <c r="A22" s="4" t="s">
        <v>22</v>
      </c>
      <c r="B22" s="10"/>
      <c r="C22" s="5"/>
    </row>
    <row r="23" spans="1:3" x14ac:dyDescent="0.25">
      <c r="A23" s="7" t="s">
        <v>23</v>
      </c>
      <c r="B23" s="16">
        <v>209.7</v>
      </c>
      <c r="C23" s="8">
        <v>151.4</v>
      </c>
    </row>
    <row r="24" spans="1:3" x14ac:dyDescent="0.25">
      <c r="A24" s="7" t="s">
        <v>24</v>
      </c>
      <c r="B24" s="16">
        <v>117.2</v>
      </c>
      <c r="C24" s="17">
        <v>47.7</v>
      </c>
    </row>
    <row r="25" spans="1:3" x14ac:dyDescent="0.25">
      <c r="A25" s="7" t="s">
        <v>25</v>
      </c>
      <c r="B25" s="16">
        <v>148.1</v>
      </c>
      <c r="C25" s="8">
        <v>78.8</v>
      </c>
    </row>
    <row r="26" spans="1:3" x14ac:dyDescent="0.25">
      <c r="A26" s="7" t="s">
        <v>26</v>
      </c>
      <c r="B26" s="16">
        <v>211.4</v>
      </c>
      <c r="C26" s="17">
        <v>95.5</v>
      </c>
    </row>
    <row r="27" spans="1:3" x14ac:dyDescent="0.25">
      <c r="A27" s="7" t="s">
        <v>27</v>
      </c>
      <c r="B27" s="16">
        <v>30.4</v>
      </c>
      <c r="C27" s="8">
        <v>24.9</v>
      </c>
    </row>
    <row r="28" spans="1:3" x14ac:dyDescent="0.25">
      <c r="A28" s="7" t="s">
        <v>28</v>
      </c>
      <c r="B28" s="16">
        <v>28</v>
      </c>
      <c r="C28" s="8">
        <v>30</v>
      </c>
    </row>
    <row r="29" spans="1:3" x14ac:dyDescent="0.25">
      <c r="A29" s="4" t="s">
        <v>29</v>
      </c>
      <c r="B29" s="10">
        <v>744.8</v>
      </c>
      <c r="C29" s="5">
        <v>428.3</v>
      </c>
    </row>
    <row r="30" spans="1:3" x14ac:dyDescent="0.25">
      <c r="A30" s="7" t="s">
        <v>30</v>
      </c>
      <c r="B30" s="16">
        <v>201.6</v>
      </c>
      <c r="C30" s="8">
        <v>90.5</v>
      </c>
    </row>
    <row r="31" spans="1:3" x14ac:dyDescent="0.25">
      <c r="A31" s="7" t="s">
        <v>31</v>
      </c>
      <c r="B31" s="16">
        <v>30.9</v>
      </c>
      <c r="C31" s="8">
        <v>32.299999999999997</v>
      </c>
    </row>
    <row r="32" spans="1:3" x14ac:dyDescent="0.25">
      <c r="A32" s="7" t="s">
        <v>32</v>
      </c>
      <c r="B32" s="16">
        <v>34.9</v>
      </c>
      <c r="C32" s="8">
        <v>31.1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CF69E-30E7-44C4-8A76-56644FE8602E}">
  <sheetPr codeName="Sheet3">
    <tabColor theme="4" tint="-0.249977111117893"/>
  </sheetPr>
  <dimension ref="A1:H42"/>
  <sheetViews>
    <sheetView workbookViewId="0">
      <selection activeCell="D1" sqref="D1"/>
    </sheetView>
  </sheetViews>
  <sheetFormatPr defaultRowHeight="15" x14ac:dyDescent="0.25"/>
  <sheetData>
    <row r="1" spans="1:3" ht="39" x14ac:dyDescent="0.25">
      <c r="A1" s="11" t="s">
        <v>1</v>
      </c>
      <c r="B1" s="12" t="s">
        <v>2</v>
      </c>
      <c r="C1" s="13" t="s">
        <v>3</v>
      </c>
    </row>
    <row r="2" spans="1:3" ht="15.75" x14ac:dyDescent="0.25">
      <c r="A2" s="4" t="s">
        <v>4</v>
      </c>
      <c r="B2" s="14"/>
      <c r="C2" s="15"/>
    </row>
    <row r="3" spans="1:3" x14ac:dyDescent="0.25">
      <c r="A3" s="7" t="s">
        <v>5</v>
      </c>
      <c r="B3" s="16">
        <v>248.7</v>
      </c>
      <c r="C3" s="8">
        <v>282.3</v>
      </c>
    </row>
    <row r="4" spans="1:3" x14ac:dyDescent="0.25">
      <c r="A4" s="7" t="s">
        <v>6</v>
      </c>
      <c r="B4" s="16">
        <v>0.7</v>
      </c>
      <c r="C4" s="8">
        <v>0.9</v>
      </c>
    </row>
    <row r="5" spans="1:3" x14ac:dyDescent="0.25">
      <c r="A5" s="7" t="s">
        <v>7</v>
      </c>
      <c r="B5" s="16">
        <v>122</v>
      </c>
      <c r="C5" s="8">
        <v>50.4</v>
      </c>
    </row>
    <row r="6" spans="1:3" x14ac:dyDescent="0.25">
      <c r="A6" s="7" t="s">
        <v>8</v>
      </c>
      <c r="B6" s="16">
        <v>80.099999999999994</v>
      </c>
      <c r="C6" s="8">
        <v>26.1</v>
      </c>
    </row>
    <row r="7" spans="1:3" x14ac:dyDescent="0.25">
      <c r="A7" s="7" t="s">
        <v>9</v>
      </c>
      <c r="B7" s="16">
        <v>3.1</v>
      </c>
      <c r="C7" s="8">
        <v>3.5</v>
      </c>
    </row>
    <row r="8" spans="1:3" x14ac:dyDescent="0.25">
      <c r="A8" s="7" t="s">
        <v>10</v>
      </c>
      <c r="B8" s="16">
        <v>249.6</v>
      </c>
      <c r="C8" s="8">
        <v>192.5</v>
      </c>
    </row>
    <row r="9" spans="1:3" x14ac:dyDescent="0.25">
      <c r="A9" s="7" t="s">
        <v>11</v>
      </c>
      <c r="B9" s="16">
        <v>14.7</v>
      </c>
      <c r="C9" s="8">
        <v>0</v>
      </c>
    </row>
    <row r="10" spans="1:3" x14ac:dyDescent="0.25">
      <c r="A10" s="4" t="s">
        <v>12</v>
      </c>
      <c r="B10" s="10">
        <v>718.90000000000009</v>
      </c>
      <c r="C10" s="5">
        <v>555.70000000000005</v>
      </c>
    </row>
    <row r="11" spans="1:3" x14ac:dyDescent="0.25">
      <c r="A11" s="7" t="s">
        <v>13</v>
      </c>
      <c r="B11" s="16">
        <v>234.2</v>
      </c>
      <c r="C11" s="8">
        <v>210.6</v>
      </c>
    </row>
    <row r="12" spans="1:3" x14ac:dyDescent="0.25">
      <c r="A12" s="7" t="s">
        <v>14</v>
      </c>
      <c r="B12" s="16">
        <v>86.8</v>
      </c>
      <c r="C12" s="8">
        <v>46</v>
      </c>
    </row>
    <row r="13" spans="1:3" x14ac:dyDescent="0.25">
      <c r="A13" s="7" t="s">
        <v>15</v>
      </c>
      <c r="B13" s="16">
        <v>91.6</v>
      </c>
      <c r="C13" s="8">
        <v>43.5</v>
      </c>
    </row>
    <row r="14" spans="1:3" x14ac:dyDescent="0.25">
      <c r="A14" s="7" t="s">
        <v>16</v>
      </c>
      <c r="B14" s="16">
        <v>191.8</v>
      </c>
      <c r="C14" s="8">
        <v>0</v>
      </c>
    </row>
    <row r="15" spans="1:3" x14ac:dyDescent="0.25">
      <c r="A15" s="7" t="s">
        <v>17</v>
      </c>
      <c r="B15" s="16">
        <v>17.100000000000001</v>
      </c>
      <c r="C15" s="8">
        <v>15.8</v>
      </c>
    </row>
    <row r="16" spans="1:3" x14ac:dyDescent="0.25">
      <c r="A16" s="7" t="s">
        <v>18</v>
      </c>
      <c r="B16" s="16">
        <v>62.8</v>
      </c>
      <c r="C16" s="8">
        <v>62.7</v>
      </c>
    </row>
    <row r="17" spans="1:8" x14ac:dyDescent="0.25">
      <c r="A17" s="7" t="s">
        <v>19</v>
      </c>
      <c r="B17" s="16">
        <v>25.8</v>
      </c>
      <c r="C17" s="8">
        <v>22.1</v>
      </c>
    </row>
    <row r="18" spans="1:8" x14ac:dyDescent="0.25">
      <c r="A18" s="7" t="s">
        <v>20</v>
      </c>
      <c r="B18" s="16">
        <v>7.3</v>
      </c>
      <c r="C18" s="8">
        <v>7.1</v>
      </c>
    </row>
    <row r="19" spans="1:8" x14ac:dyDescent="0.25">
      <c r="A19" s="18" t="s">
        <v>21</v>
      </c>
      <c r="B19" s="19">
        <v>717.4</v>
      </c>
      <c r="C19" s="20">
        <v>407.80000000000007</v>
      </c>
    </row>
    <row r="20" spans="1:8" x14ac:dyDescent="0.25">
      <c r="A20" s="23" t="s">
        <v>4</v>
      </c>
      <c r="B20" s="24">
        <v>1436.3000000000002</v>
      </c>
      <c r="C20" s="25">
        <v>963.50000000000011</v>
      </c>
    </row>
    <row r="21" spans="1:8" x14ac:dyDescent="0.25">
      <c r="A21" s="9" t="s">
        <v>33</v>
      </c>
      <c r="B21" s="3"/>
      <c r="C21" s="6">
        <f>COUNTA(C3:C20)</f>
        <v>18</v>
      </c>
    </row>
    <row r="22" spans="1:8" x14ac:dyDescent="0.25">
      <c r="A22" s="9"/>
      <c r="B22" s="3"/>
      <c r="C22" s="6"/>
    </row>
    <row r="23" spans="1:8" x14ac:dyDescent="0.25">
      <c r="A23" s="4" t="s">
        <v>22</v>
      </c>
      <c r="B23" s="10"/>
      <c r="C23" s="5"/>
    </row>
    <row r="24" spans="1:8" x14ac:dyDescent="0.25">
      <c r="A24" s="7" t="s">
        <v>23</v>
      </c>
      <c r="B24" s="16">
        <v>209.7</v>
      </c>
      <c r="C24" s="8">
        <v>151.4</v>
      </c>
    </row>
    <row r="25" spans="1:8" x14ac:dyDescent="0.25">
      <c r="A25" s="7" t="s">
        <v>24</v>
      </c>
      <c r="B25" s="16">
        <v>117.2</v>
      </c>
      <c r="C25" s="17">
        <v>47.7</v>
      </c>
      <c r="H25" s="1"/>
    </row>
    <row r="26" spans="1:8" x14ac:dyDescent="0.25">
      <c r="A26" s="7" t="s">
        <v>25</v>
      </c>
      <c r="B26" s="16">
        <v>148.1</v>
      </c>
      <c r="C26" s="8">
        <v>78.8</v>
      </c>
    </row>
    <row r="27" spans="1:8" x14ac:dyDescent="0.25">
      <c r="A27" s="7" t="s">
        <v>26</v>
      </c>
      <c r="B27" s="16">
        <v>211.4</v>
      </c>
      <c r="C27" s="17">
        <v>95.5</v>
      </c>
    </row>
    <row r="28" spans="1:8" x14ac:dyDescent="0.25">
      <c r="A28" s="7" t="s">
        <v>27</v>
      </c>
      <c r="B28" s="16">
        <v>30.4</v>
      </c>
      <c r="C28" s="8">
        <v>24.9</v>
      </c>
    </row>
    <row r="29" spans="1:8" x14ac:dyDescent="0.25">
      <c r="A29" s="7" t="s">
        <v>28</v>
      </c>
      <c r="B29" s="16">
        <v>28</v>
      </c>
      <c r="C29" s="8">
        <v>30</v>
      </c>
    </row>
    <row r="30" spans="1:8" x14ac:dyDescent="0.25">
      <c r="A30" s="4" t="s">
        <v>29</v>
      </c>
      <c r="B30" s="10">
        <v>744.8</v>
      </c>
      <c r="C30" s="5">
        <v>428.3</v>
      </c>
    </row>
    <row r="31" spans="1:8" x14ac:dyDescent="0.25">
      <c r="A31" s="7" t="s">
        <v>30</v>
      </c>
      <c r="B31" s="16">
        <v>201.6</v>
      </c>
      <c r="C31" s="8">
        <v>90.5</v>
      </c>
    </row>
    <row r="32" spans="1:8" x14ac:dyDescent="0.25">
      <c r="A32" s="7" t="s">
        <v>31</v>
      </c>
      <c r="B32" s="16">
        <v>30.9</v>
      </c>
      <c r="C32" s="8">
        <v>32.299999999999997</v>
      </c>
    </row>
    <row r="33" spans="1:3" x14ac:dyDescent="0.25">
      <c r="A33" s="7" t="s">
        <v>32</v>
      </c>
      <c r="B33" s="16">
        <v>34.9</v>
      </c>
      <c r="C33" s="8">
        <v>31.1</v>
      </c>
    </row>
    <row r="42" spans="1:3" x14ac:dyDescent="0.25">
      <c r="A42" s="1" t="s">
        <v>33</v>
      </c>
      <c r="C42">
        <f>COUNTA(C25:C41)</f>
        <v>9</v>
      </c>
    </row>
  </sheetData>
  <pageMargins left="0.7" right="0.7" top="0.75" bottom="0.75" header="0.3" footer="0.3"/>
  <ignoredErrors>
    <ignoredError sqref="C42" formulaRange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AddTotalRelative">
                <anchor moveWithCells="1">
                  <from>
                    <xdr:col>7</xdr:col>
                    <xdr:colOff>19050</xdr:colOff>
                    <xdr:row>0</xdr:row>
                    <xdr:rowOff>28575</xdr:rowOff>
                  </from>
                  <to>
                    <xdr:col>7</xdr:col>
                    <xdr:colOff>590550</xdr:colOff>
                    <xdr:row>0</xdr:row>
                    <xdr:rowOff>476250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73D68-D2BA-4578-953A-93AC31527FF8}">
  <sheetPr codeName="Sheet5">
    <tabColor theme="5" tint="-0.249977111117893"/>
  </sheetPr>
  <dimension ref="A1"/>
  <sheetViews>
    <sheetView workbookViewId="0">
      <selection activeCell="F15" sqref="F15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Index</vt:lpstr>
      <vt:lpstr>Sheet1</vt:lpstr>
      <vt:lpstr>Sheet2</vt:lpstr>
      <vt:lpstr>Sheet3</vt:lpstr>
      <vt:lpstr>Sheet5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</dc:creator>
  <cp:lastModifiedBy>a</cp:lastModifiedBy>
  <dcterms:created xsi:type="dcterms:W3CDTF">2022-04-28T07:04:01Z</dcterms:created>
  <dcterms:modified xsi:type="dcterms:W3CDTF">2022-04-28T13:08:21Z</dcterms:modified>
</cp:coreProperties>
</file>